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3"/>
  <workbookPr/>
  <mc:AlternateContent xmlns:mc="http://schemas.openxmlformats.org/markup-compatibility/2006">
    <mc:Choice Requires="x15">
      <x15ac:absPath xmlns:x15ac="http://schemas.microsoft.com/office/spreadsheetml/2010/11/ac" url="https://mirasys-my.sharepoint.com/personal/avinash_kumar_mirasys_com/Documents/Projects/Ahmedabad Nirbhaya City Police/extrack page/"/>
    </mc:Choice>
  </mc:AlternateContent>
  <xr:revisionPtr revIDLastSave="0" documentId="8_{F71727F8-A8CC-C641-BE06-7746EF9EBC68}" xr6:coauthVersionLast="47" xr6:coauthVersionMax="47" xr10:uidLastSave="{00000000-0000-0000-0000-000000000000}"/>
  <bookViews>
    <workbookView xWindow="-120" yWindow="-120" windowWidth="20730" windowHeight="11160" xr2:uid="{00000000-000D-0000-FFFF-FFFF00000000}"/>
  </bookViews>
  <sheets>
    <sheet name="Format" sheetId="5" r:id="rId1"/>
  </sheets>
  <definedNames>
    <definedName name="_xlnm._FilterDatabase" localSheetId="0" hidden="1">Format!$A$5:$F$12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5" l="1"/>
</calcChain>
</file>

<file path=xl/sharedStrings.xml><?xml version="1.0" encoding="utf-8"?>
<sst xmlns="http://schemas.openxmlformats.org/spreadsheetml/2006/main" count="39" uniqueCount="35">
  <si>
    <t>Section
No.</t>
  </si>
  <si>
    <t>Clarification Sought</t>
  </si>
  <si>
    <t>Sr.
No.</t>
  </si>
  <si>
    <t>RFP Document Reference</t>
  </si>
  <si>
    <t>Contact Detail of the Organization or Authorized Representative</t>
  </si>
  <si>
    <t>Name and Address of the Organization submitting request</t>
  </si>
  <si>
    <t>Name and Designation of Person submitting request</t>
  </si>
  <si>
    <t>Page no</t>
  </si>
  <si>
    <t>Content of the RFP requiring clarification</t>
  </si>
  <si>
    <t>Selection of System Integrator for Design, Implementation, Operation Maintenance of ICT initiatives Under Nirbhaya Project of Ahmedabad City Police</t>
  </si>
  <si>
    <t>9.   VMS shall be capable of being deployed in a virtualized server environment without loss of any functionality.</t>
  </si>
  <si>
    <t>Kindly consider below for better solution:
9.   VMS shall be capable of being deployed in a virtualized server environment without loss of any functionality. The VMS Software, video analytics should have OS partner certification from last 3 years for tight integration with operating system.</t>
  </si>
  <si>
    <t>5.   VMS shall be supported for fully distributed solution for monitoring and control function, designed for limitless multi-site and multiple server installations requiring 24/7 surveillance with support for devices from different vendors.</t>
  </si>
  <si>
    <t xml:space="preserve">Capex Schedule H1: Datacenter - I </t>
  </si>
  <si>
    <t xml:space="preserve">1. Servers ( inclusive of operating System ) 
B. Recording Server - 12
C. Analytics Servers - 15
</t>
  </si>
  <si>
    <t xml:space="preserve">Kindly consider below for better solution:
Each VMS and VA OEM has different architecture and different requirement of computing and performance .So would  request you to remove the quantity to 1 Lot , so that OEM can design the server requirement as per their architecture which might be less than the given count. Benefit of the same will be passed on to Ahmedabad Police </t>
  </si>
  <si>
    <t>Capex Schedule H2: Disaster recovery Center</t>
  </si>
  <si>
    <t xml:space="preserve">1. Servers ( inclusive of operating System ) 
B. Recording Server - 8
C. Analytics Servers - 4
</t>
  </si>
  <si>
    <t xml:space="preserve"> 3.3.1.8  Video Management System</t>
  </si>
  <si>
    <t>12. Day to day control of cameras and monitoring on client workstations shall be controlled through the VMS administrator interface.</t>
  </si>
  <si>
    <t xml:space="preserve">With the current scenario where cyber crime is in its boom , We strongly recommend the software to encrypt the data from Camera to Server at  256 bit  , server to client level encryption at 256 bit as well as export the video in tamper proof format  ( SEF / SEF 2)  along with watermarking  which should be dual password protected upto 32 characters </t>
  </si>
  <si>
    <t>7.  The offered VMS and cameras must have Open Network Video Interface Forum (ONVIF Profile S or better) compliance.</t>
  </si>
  <si>
    <t>Corr 10. Volume</t>
  </si>
  <si>
    <t>Maximum Two companies shall be allowed in a consortium including the Lead Member.</t>
  </si>
  <si>
    <t>Pre-Qualification Criteria</t>
  </si>
  <si>
    <t>OEM Qualification Criteria other Analytics</t>
  </si>
  <si>
    <t>Minimum installation base of 100 cameras in India or globally as on bid submission date with analytics as mentioned in the RFP volume II
• Should have been operational for at-least 1 City Surveillance projects/Smart City/Safe City Projects (in India or globally) having minimum 10 licenses of AI based video analytics during last six years as on date of the bid submission.</t>
  </si>
  <si>
    <t>Kindly consider below for better solution:
7.   The bidder shall clearly list in their proposal the make and models that can be integrated with the VMS, additionally the offered VMS and cameras must have Open Network Video Interface Forum (ONVIF Profile S and G compliant and contributor level member or full member)</t>
  </si>
  <si>
    <t>Kindly consider the below for better execution: Seeing the nature of the Project Maximum Three companies shall be allowed in a consortium including the lead member. This will help in better execution of the project. Roles and responsibilities can be defined one will take care of the Technical, other will take care of the execution of the project with the support of the Technical experts and third one will take care of the financial aspect of the project.</t>
  </si>
  <si>
    <t>Corrigendum 14</t>
  </si>
  <si>
    <t>Annexure VII: Proof of Concept (POC) Use Case Video Analytics Soliution</t>
  </si>
  <si>
    <t>Kindly consider below for better solution:
5.   VMS shall be supported for fully distributed solution for monitoring and control function, designed for limitless multi-site and multiple server installations requiring 24/7 surveillance with support for devices from different vendors. The VMS and Video analytics should be from the same OEM and have ISO certificates of 9001,14001 &amp; 27001 as well as CMMI Level 3</t>
  </si>
  <si>
    <t xml:space="preserve">As the quantity of the Analytics required are huge so the PQ should also be such that reputed and proven platform can participate. Request you to please consider:                                                                                           Minimum installation base of 3000 cameras in India or globally as on bid submission date with analytics as mentioned in the RFP volume II. Should also have the installation base of atleast 5 smart cities. Self certification to be submitted.
• Should have been operational for at-least 2 City Surveillance projects/Smart City/Safe City Projects (in India or globally) having minimum 250 licenses of AI based video analytics during last six years as on date of the bid submission. </t>
  </si>
  <si>
    <t>5. Video Analytics Solutions – The qualified bidders shall require to demonstrate both the
analytics (Basic and Advanced) on proposed cameras as well as existing cameras installed
under various projects, The purchaser will provide the live and recorded video feed to run these
analytics and the qualified bidders must achieve the results as mentioned in the RFP
(Corrigendum 10). Following are the some of the indicative list of analytics:
• Change in scene(frame) in case of theft etc.
• Crowd gathering
• Loitering/ person moving in restricted area
• Unidentified &amp; suspicious object
• Stopped vehicle
• Fire Detection
• Lone women detection
• Men in women only area
• Lying down, standing, Leaning
• Age and Gender detection via faces
• Multi Camera tracking</t>
  </si>
  <si>
    <t>To be considered as below 
5. Video Analytics Solutions – The qualified bidders shall require to demonstrate both the analytics (Basic and Advanced) on proposed cameras as well as existing cameras installed under various projects, The purchaser will provide the live and recorded video feed to run these analytics and the qualified bidders must achieve the results as mentioned in the RFP (Corrigendum 10).  Following are the some of the indicative list of analytics:
• Crowd gathering
• Loitering/ person moving in restricted area
• Unidentified &amp; suspicious object
• Stopped vehicle
• 3D Calibaration
• Fire Detection
• Moving Object blur
• Alone women detection
• Face blur
• Person search
• Multi Camera tracking
The software should showcase Dual factor authentication while login  and the exported video feed should be dual password in secure export format along with water mark of ahmedabad city  police. 
Note: Additionally 100 license each for face blur, moving object blur &amp; person search to be considered for price bid.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</si>
</sst>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sz val="11"/>
      <color rgb="FF000000"/>
      <name val="Calibri"/>
      <family val="2"/>
      <charset val="204"/>
    </font>
    <font>
      <sz val="10"/>
      <color rgb="FF000000"/>
      <name val="Arial"/>
      <family val="2"/>
    </font>
    <font>
      <sz val="10"/>
      <color rgb="FF000000"/>
      <name val="Arial"/>
    </font>
    <font>
      <sz val="11"/>
      <color rgb="FF000000"/>
      <name val="Calibri"/>
      <family val="2"/>
    </font>
  </fonts>
  <fills count="5">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rgb="FFFFFF00"/>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4">
    <xf numFmtId="0" fontId="0" fillId="0" borderId="0"/>
    <xf numFmtId="0" fontId="3" fillId="0" borderId="0"/>
    <xf numFmtId="0" fontId="4" fillId="0" borderId="0"/>
    <xf numFmtId="0" fontId="5" fillId="0" borderId="0"/>
  </cellStyleXfs>
  <cellXfs count="49">
    <xf numFmtId="0" fontId="0" fillId="0" borderId="0" xfId="0"/>
    <xf numFmtId="0" fontId="0" fillId="0" borderId="0" xfId="0" applyAlignment="1">
      <alignment horizontal="center"/>
    </xf>
    <xf numFmtId="0" fontId="2" fillId="4" borderId="1" xfId="0" applyFont="1" applyFill="1" applyBorder="1" applyAlignment="1">
      <alignment horizontal="center" wrapText="1"/>
    </xf>
    <xf numFmtId="0" fontId="1" fillId="0" borderId="0" xfId="0" applyFont="1" applyAlignment="1">
      <alignment horizontal="center"/>
    </xf>
    <xf numFmtId="0" fontId="0" fillId="0" borderId="0" xfId="0" applyAlignment="1">
      <alignment horizontal="center" wrapText="1"/>
    </xf>
    <xf numFmtId="0" fontId="6" fillId="0" borderId="8" xfId="0" applyFont="1" applyBorder="1" applyAlignment="1">
      <alignment horizontal="left" vertical="top" wrapText="1"/>
    </xf>
    <xf numFmtId="0" fontId="6" fillId="0" borderId="8" xfId="0" applyFont="1" applyBorder="1" applyAlignment="1">
      <alignment horizontal="center" vertical="center" wrapText="1"/>
    </xf>
    <xf numFmtId="0" fontId="6" fillId="0" borderId="8" xfId="0" applyFont="1" applyBorder="1" applyAlignment="1">
      <alignment horizontal="left" vertical="center" wrapText="1"/>
    </xf>
    <xf numFmtId="0" fontId="1" fillId="3" borderId="9"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8" xfId="0" applyBorder="1" applyAlignment="1">
      <alignment horizontal="left" vertical="top" wrapText="1"/>
    </xf>
    <xf numFmtId="0" fontId="1" fillId="0" borderId="8" xfId="0" applyFont="1" applyBorder="1" applyAlignment="1">
      <alignment horizontal="center" wrapText="1"/>
    </xf>
    <xf numFmtId="0" fontId="1" fillId="0" borderId="8" xfId="0" applyFont="1" applyBorder="1" applyAlignment="1">
      <alignment horizontal="center"/>
    </xf>
    <xf numFmtId="0" fontId="0" fillId="0" borderId="8" xfId="0" applyFont="1" applyBorder="1" applyAlignment="1">
      <alignment horizontal="left" vertical="center" wrapText="1"/>
    </xf>
    <xf numFmtId="0" fontId="0" fillId="0" borderId="8" xfId="0" applyFont="1" applyBorder="1" applyAlignment="1">
      <alignment horizontal="center" wrapText="1"/>
    </xf>
    <xf numFmtId="0" fontId="0" fillId="0" borderId="8" xfId="0" applyFont="1" applyBorder="1" applyAlignment="1">
      <alignment horizontal="center"/>
    </xf>
    <xf numFmtId="0" fontId="0" fillId="0" borderId="13" xfId="0" applyFont="1" applyBorder="1" applyAlignment="1">
      <alignment horizontal="center" wrapText="1"/>
    </xf>
    <xf numFmtId="0" fontId="0" fillId="0" borderId="14" xfId="0" applyFont="1" applyBorder="1" applyAlignment="1">
      <alignment horizontal="left" vertical="center" wrapText="1"/>
    </xf>
    <xf numFmtId="0" fontId="0" fillId="0" borderId="13" xfId="0" applyBorder="1" applyAlignment="1">
      <alignment horizontal="center" vertical="center" wrapText="1"/>
    </xf>
    <xf numFmtId="0" fontId="0" fillId="0" borderId="14" xfId="0" applyFill="1" applyBorder="1" applyAlignment="1">
      <alignment horizontal="left" vertical="center" wrapText="1"/>
    </xf>
    <xf numFmtId="0" fontId="6" fillId="0" borderId="14" xfId="0" applyFont="1" applyBorder="1" applyAlignment="1">
      <alignment horizontal="left" vertical="top" wrapText="1"/>
    </xf>
    <xf numFmtId="0" fontId="0" fillId="0" borderId="8" xfId="0" applyBorder="1" applyAlignment="1">
      <alignment horizontal="center"/>
    </xf>
    <xf numFmtId="0" fontId="0" fillId="0" borderId="8" xfId="0" applyBorder="1" applyAlignment="1">
      <alignment horizontal="left" wrapText="1"/>
    </xf>
    <xf numFmtId="0" fontId="0" fillId="0" borderId="13" xfId="0" applyBorder="1" applyAlignment="1">
      <alignment horizontal="center"/>
    </xf>
    <xf numFmtId="0" fontId="0" fillId="0" borderId="14" xfId="0" applyBorder="1" applyAlignment="1">
      <alignment horizontal="left" wrapText="1"/>
    </xf>
    <xf numFmtId="0" fontId="0" fillId="0" borderId="8" xfId="0" applyFont="1" applyFill="1" applyBorder="1" applyAlignment="1">
      <alignment horizontal="center" wrapText="1"/>
    </xf>
    <xf numFmtId="0" fontId="0" fillId="0" borderId="8" xfId="0" applyFill="1" applyBorder="1" applyAlignment="1">
      <alignment horizontal="center" vertical="center"/>
    </xf>
    <xf numFmtId="0" fontId="6" fillId="0" borderId="8" xfId="0" applyFont="1" applyFill="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0" fillId="0" borderId="19" xfId="0" applyBorder="1" applyAlignment="1">
      <alignment horizontal="left"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4" borderId="6" xfId="0" applyFont="1" applyFill="1" applyBorder="1" applyAlignment="1">
      <alignment horizontal="center" wrapText="1"/>
    </xf>
    <xf numFmtId="0" fontId="2" fillId="4" borderId="7" xfId="0" applyFont="1" applyFill="1" applyBorder="1" applyAlignment="1">
      <alignment horizontal="center" wrapText="1"/>
    </xf>
    <xf numFmtId="0" fontId="2" fillId="4" borderId="2" xfId="0" applyFont="1" applyFill="1" applyBorder="1" applyAlignment="1">
      <alignment horizontal="center" wrapText="1"/>
    </xf>
    <xf numFmtId="0" fontId="2" fillId="3" borderId="10" xfId="0" applyFont="1" applyFill="1" applyBorder="1" applyAlignment="1">
      <alignment horizontal="center" wrapText="1"/>
    </xf>
    <xf numFmtId="0" fontId="2" fillId="3" borderId="11" xfId="0" applyFont="1" applyFill="1" applyBorder="1" applyAlignment="1">
      <alignment horizontal="center" wrapText="1"/>
    </xf>
    <xf numFmtId="0" fontId="2" fillId="3" borderId="12" xfId="0" applyFont="1" applyFill="1" applyBorder="1" applyAlignment="1">
      <alignment horizontal="center" wrapText="1"/>
    </xf>
    <xf numFmtId="0" fontId="1" fillId="0" borderId="15" xfId="0" applyFont="1" applyBorder="1" applyAlignment="1">
      <alignment horizontal="center" wrapText="1"/>
    </xf>
    <xf numFmtId="0" fontId="1" fillId="0" borderId="13" xfId="0" applyFont="1" applyBorder="1" applyAlignment="1">
      <alignment horizontal="center" wrapText="1"/>
    </xf>
    <xf numFmtId="0" fontId="1" fillId="0" borderId="16" xfId="0" applyFont="1" applyBorder="1" applyAlignment="1">
      <alignment horizontal="center"/>
    </xf>
    <xf numFmtId="0" fontId="1" fillId="0" borderId="1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4" xfId="0" applyFont="1" applyBorder="1" applyAlignment="1">
      <alignment horizontal="center" vertical="center" wrapText="1"/>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topLeftCell="A14" zoomScale="85" zoomScaleNormal="85" workbookViewId="0">
      <selection activeCell="F14" sqref="F14"/>
    </sheetView>
  </sheetViews>
  <sheetFormatPr defaultColWidth="9.14453125" defaultRowHeight="15" x14ac:dyDescent="0.2"/>
  <cols>
    <col min="1" max="1" width="7.53125" style="1" customWidth="1"/>
    <col min="2" max="2" width="15.73828125" style="1" customWidth="1"/>
    <col min="3" max="3" width="17.890625" style="1" customWidth="1"/>
    <col min="4" max="4" width="12.10546875" style="1" customWidth="1"/>
    <col min="5" max="5" width="52.05859375" style="4" customWidth="1"/>
    <col min="6" max="6" width="60.66796875" style="4" customWidth="1"/>
    <col min="7" max="7" width="39.546875" style="1" customWidth="1"/>
    <col min="8" max="16384" width="9.14453125" style="1"/>
  </cols>
  <sheetData>
    <row r="1" spans="1:6" ht="15.75" thickBot="1" x14ac:dyDescent="0.25">
      <c r="A1" s="33" t="s">
        <v>9</v>
      </c>
      <c r="B1" s="34"/>
      <c r="C1" s="34"/>
      <c r="D1" s="34"/>
      <c r="E1" s="34"/>
      <c r="F1" s="35"/>
    </row>
    <row r="2" spans="1:6" ht="15.75" thickBot="1" x14ac:dyDescent="0.25">
      <c r="A2" s="36" t="s">
        <v>5</v>
      </c>
      <c r="B2" s="37"/>
      <c r="C2" s="37"/>
      <c r="D2" s="38"/>
      <c r="E2" s="2" t="s">
        <v>6</v>
      </c>
      <c r="F2" s="2" t="s">
        <v>4</v>
      </c>
    </row>
    <row r="3" spans="1:6" ht="15.75" thickBot="1" x14ac:dyDescent="0.25">
      <c r="A3" s="39"/>
      <c r="B3" s="40"/>
      <c r="C3" s="40"/>
      <c r="D3" s="41"/>
      <c r="E3" s="8"/>
      <c r="F3" s="9"/>
    </row>
    <row r="4" spans="1:6" s="3" customFormat="1" x14ac:dyDescent="0.2">
      <c r="A4" s="42" t="s">
        <v>2</v>
      </c>
      <c r="B4" s="44" t="s">
        <v>3</v>
      </c>
      <c r="C4" s="44"/>
      <c r="D4" s="44"/>
      <c r="E4" s="45" t="s">
        <v>8</v>
      </c>
      <c r="F4" s="47" t="s">
        <v>1</v>
      </c>
    </row>
    <row r="5" spans="1:6" s="3" customFormat="1" ht="27.75" x14ac:dyDescent="0.2">
      <c r="A5" s="43"/>
      <c r="B5" s="14" t="s">
        <v>22</v>
      </c>
      <c r="C5" s="13" t="s">
        <v>0</v>
      </c>
      <c r="D5" s="13" t="s">
        <v>7</v>
      </c>
      <c r="E5" s="46"/>
      <c r="F5" s="48"/>
    </row>
    <row r="6" spans="1:6" s="3" customFormat="1" ht="94.5" x14ac:dyDescent="0.2">
      <c r="A6" s="18">
        <v>1</v>
      </c>
      <c r="B6" s="17">
        <v>1</v>
      </c>
      <c r="C6" s="16" t="s">
        <v>24</v>
      </c>
      <c r="D6" s="27">
        <v>13</v>
      </c>
      <c r="E6" s="15" t="s">
        <v>23</v>
      </c>
      <c r="F6" s="19" t="s">
        <v>28</v>
      </c>
    </row>
    <row r="7" spans="1:6" s="4" customFormat="1" ht="81" x14ac:dyDescent="0.2">
      <c r="A7" s="20">
        <v>2</v>
      </c>
      <c r="B7" s="10">
        <v>1</v>
      </c>
      <c r="C7" s="11" t="s">
        <v>13</v>
      </c>
      <c r="D7" s="28">
        <v>114</v>
      </c>
      <c r="E7" s="12" t="s">
        <v>14</v>
      </c>
      <c r="F7" s="21" t="s">
        <v>15</v>
      </c>
    </row>
    <row r="8" spans="1:6" s="4" customFormat="1" ht="81" x14ac:dyDescent="0.2">
      <c r="A8" s="20">
        <v>3</v>
      </c>
      <c r="B8" s="10">
        <v>1</v>
      </c>
      <c r="C8" s="11" t="s">
        <v>16</v>
      </c>
      <c r="D8" s="28">
        <v>117</v>
      </c>
      <c r="E8" s="12" t="s">
        <v>17</v>
      </c>
      <c r="F8" s="21" t="s">
        <v>15</v>
      </c>
    </row>
    <row r="9" spans="1:6" s="4" customFormat="1" ht="68.25" x14ac:dyDescent="0.2">
      <c r="A9" s="20">
        <v>4</v>
      </c>
      <c r="B9" s="10">
        <v>2</v>
      </c>
      <c r="C9" s="7" t="s">
        <v>18</v>
      </c>
      <c r="D9" s="28">
        <v>30</v>
      </c>
      <c r="E9" s="5" t="s">
        <v>19</v>
      </c>
      <c r="F9" s="22" t="s">
        <v>20</v>
      </c>
    </row>
    <row r="10" spans="1:6" s="4" customFormat="1" ht="94.5" x14ac:dyDescent="0.2">
      <c r="A10" s="20">
        <v>5</v>
      </c>
      <c r="B10" s="6">
        <v>2</v>
      </c>
      <c r="C10" s="7" t="s">
        <v>18</v>
      </c>
      <c r="D10" s="29">
        <v>29</v>
      </c>
      <c r="E10" s="5" t="s">
        <v>12</v>
      </c>
      <c r="F10" s="22" t="s">
        <v>31</v>
      </c>
    </row>
    <row r="11" spans="1:6" s="4" customFormat="1" ht="68.25" x14ac:dyDescent="0.2">
      <c r="A11" s="20">
        <v>6</v>
      </c>
      <c r="B11" s="6">
        <v>2</v>
      </c>
      <c r="C11" s="7" t="s">
        <v>18</v>
      </c>
      <c r="D11" s="29">
        <v>30</v>
      </c>
      <c r="E11" s="5" t="s">
        <v>21</v>
      </c>
      <c r="F11" s="22" t="s">
        <v>27</v>
      </c>
    </row>
    <row r="12" spans="1:6" s="4" customFormat="1" ht="68.25" x14ac:dyDescent="0.2">
      <c r="A12" s="20">
        <f t="shared" ref="A12" si="0">A11+1</f>
        <v>7</v>
      </c>
      <c r="B12" s="6">
        <v>2</v>
      </c>
      <c r="C12" s="7" t="s">
        <v>18</v>
      </c>
      <c r="D12" s="6">
        <v>30</v>
      </c>
      <c r="E12" s="5" t="s">
        <v>10</v>
      </c>
      <c r="F12" s="22" t="s">
        <v>11</v>
      </c>
    </row>
    <row r="13" spans="1:6" ht="148.5" x14ac:dyDescent="0.2">
      <c r="A13" s="25">
        <v>8</v>
      </c>
      <c r="B13" s="23">
        <v>1</v>
      </c>
      <c r="C13" s="24" t="s">
        <v>25</v>
      </c>
      <c r="D13" s="23">
        <v>16</v>
      </c>
      <c r="E13" s="24" t="s">
        <v>26</v>
      </c>
      <c r="F13" s="26" t="s">
        <v>32</v>
      </c>
    </row>
    <row r="14" spans="1:6" ht="349.5" x14ac:dyDescent="0.2">
      <c r="A14" s="30">
        <v>10</v>
      </c>
      <c r="B14" s="31" t="s">
        <v>29</v>
      </c>
      <c r="C14" s="32" t="s">
        <v>30</v>
      </c>
      <c r="D14" s="31">
        <v>358</v>
      </c>
      <c r="E14" s="24" t="s">
        <v>33</v>
      </c>
      <c r="F14" s="12" t="s">
        <v>34</v>
      </c>
    </row>
  </sheetData>
  <mergeCells count="7">
    <mergeCell ref="A1:F1"/>
    <mergeCell ref="A2:D2"/>
    <mergeCell ref="A3:D3"/>
    <mergeCell ref="A4:A5"/>
    <mergeCell ref="B4:D4"/>
    <mergeCell ref="E4:E5"/>
    <mergeCell ref="F4:F5"/>
  </mergeCells>
  <pageMargins left="0.23622047244094491" right="0.19685039370078741" top="0.74803149606299213" bottom="0.74803149606299213" header="0.31496062992125984" footer="0.31496062992125984"/>
  <pageSetup paperSize="11" scale="60" orientation="landscape" r:id="rId1"/>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Format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Thavasilingam T</dc:creator>
  <cp:lastModifiedBy>Avinash Kumar</cp:lastModifiedBy>
  <cp:lastPrinted>2021-02-25T03:51:29Z</cp:lastPrinted>
  <dcterms:created xsi:type="dcterms:W3CDTF">2020-02-13T05:52:30Z</dcterms:created>
  <dcterms:modified xsi:type="dcterms:W3CDTF">2021-03-14T16:20:45Z</dcterms:modified>
</cp:coreProperties>
</file>